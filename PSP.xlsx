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LFF" sheetId="1" state="visible" r:id="rId1"/>
    <sheet name="DVF" sheetId="2" state="visible" r:id="rId2"/>
    <sheet name="PDF" sheetId="3" state="visible" r:id="rId3"/>
    <sheet name="DTS" sheetId="4" state="visible" r:id="rId4"/>
    <sheet name="DFF" sheetId="5" state="visible" r:id="rId5"/>
    <sheet name="PPS" sheetId="6" state="visible" r:id="rId6"/>
    <sheet name="KPS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<sst xmlns="http://schemas.openxmlformats.org/spreadsheetml/2006/main" count="164" uniqueCount="164">
  <si>
    <t>Data</t>
  </si>
  <si>
    <t>Nuo</t>
  </si>
  <si>
    <t>Iki</t>
  </si>
  <si>
    <t>Laikas</t>
  </si>
  <si>
    <t>Trugdžiai</t>
  </si>
  <si>
    <t>Veikla</t>
  </si>
  <si>
    <t>Komentarai</t>
  </si>
  <si>
    <t>Veiklos:</t>
  </si>
  <si>
    <t>14min</t>
  </si>
  <si>
    <t>-</t>
  </si>
  <si>
    <t>Planavimas</t>
  </si>
  <si>
    <t>25min</t>
  </si>
  <si>
    <t>Rašinėjausi</t>
  </si>
  <si>
    <t xml:space="preserve">PSP veikla</t>
  </si>
  <si>
    <t xml:space="preserve">     -  Skaitymas</t>
  </si>
  <si>
    <t>55min</t>
  </si>
  <si>
    <t>Programavimas</t>
  </si>
  <si>
    <t xml:space="preserve">.c, .h</t>
  </si>
  <si>
    <t xml:space="preserve">     -  Planavimas</t>
  </si>
  <si>
    <t>2h32min</t>
  </si>
  <si>
    <t xml:space="preserve">Keičiau darbo vietą, kalbėjausi, WC</t>
  </si>
  <si>
    <t xml:space="preserve">.c, .h, ReadMe.md</t>
  </si>
  <si>
    <t xml:space="preserve">     -  Projektavimas</t>
  </si>
  <si>
    <t>31min</t>
  </si>
  <si>
    <t>Projektavimas</t>
  </si>
  <si>
    <t xml:space="preserve">README.md pakeitimai</t>
  </si>
  <si>
    <t xml:space="preserve">     -  Programavimas (kodavimas)</t>
  </si>
  <si>
    <t>15min</t>
  </si>
  <si>
    <t>Kompiliavimas</t>
  </si>
  <si>
    <t xml:space="preserve">Makefile, Go.cmd</t>
  </si>
  <si>
    <t xml:space="preserve">     -  Peržiūra</t>
  </si>
  <si>
    <t>32min</t>
  </si>
  <si>
    <t xml:space="preserve">KPS kūrimas</t>
  </si>
  <si>
    <t xml:space="preserve">     -  Kompiliavimas</t>
  </si>
  <si>
    <t xml:space="preserve">     -  Testavimas</t>
  </si>
  <si>
    <t xml:space="preserve">     -  Atsiskaitymas</t>
  </si>
  <si>
    <t xml:space="preserve">     -  PSP veikla</t>
  </si>
  <si>
    <t>Programa</t>
  </si>
  <si>
    <t xml:space="preserve">Dydis (ES)</t>
  </si>
  <si>
    <t xml:space="preserve">Realizuota funkcija</t>
  </si>
  <si>
    <t xml:space="preserve">Vertinama funkcija</t>
  </si>
  <si>
    <t>Min</t>
  </si>
  <si>
    <t>Vid.</t>
  </si>
  <si>
    <t>Max</t>
  </si>
  <si>
    <t xml:space="preserve">Duomenų įvedimas</t>
  </si>
  <si>
    <t xml:space="preserve">readCFG (failo nuskaitymas)</t>
  </si>
  <si>
    <t xml:space="preserve">Argumentų apdorojimas</t>
  </si>
  <si>
    <t xml:space="preserve">getRND, findCFG</t>
  </si>
  <si>
    <t xml:space="preserve">Eilės ADT</t>
  </si>
  <si>
    <t xml:space="preserve">CreateQueue, enqueue, dequeue</t>
  </si>
  <si>
    <t xml:space="preserve">Prioritetinės eilės ADT</t>
  </si>
  <si>
    <t xml:space="preserve">create_pq, insert_pq, remove_pq</t>
  </si>
  <si>
    <t xml:space="preserve">Skaičiavimo logika</t>
  </si>
  <si>
    <t xml:space="preserve">pay, payLoan</t>
  </si>
  <si>
    <t xml:space="preserve">Simuliacija (Eilė)</t>
  </si>
  <si>
    <t>simulateQueue</t>
  </si>
  <si>
    <t xml:space="preserve">Simuliacija (Prioritetinė)</t>
  </si>
  <si>
    <t>simulatePQueue</t>
  </si>
  <si>
    <t xml:space="preserve">Išvedimas / Main</t>
  </si>
  <si>
    <t xml:space="preserve">main, toStringQueue</t>
  </si>
  <si>
    <t xml:space="preserve">Bendras įvertinimas</t>
  </si>
  <si>
    <t xml:space="preserve">Laikas (min)</t>
  </si>
  <si>
    <t>Min/ES</t>
  </si>
  <si>
    <t>Funkcijos</t>
  </si>
  <si>
    <t>queue.c</t>
  </si>
  <si>
    <t xml:space="preserve">Eilė ir jos funkcijos</t>
  </si>
  <si>
    <t>config.c</t>
  </si>
  <si>
    <t xml:space="preserve">Konfiguracijos failo radimas ir nuskaitymas</t>
  </si>
  <si>
    <t>simulations.c</t>
  </si>
  <si>
    <t xml:space="preserve">Abi simuliacijos su queue ir priority queue</t>
  </si>
  <si>
    <t>main.c</t>
  </si>
  <si>
    <t xml:space="preserve">Pasinaudoja visomis programomis rezultatui</t>
  </si>
  <si>
    <t xml:space="preserve">Tipo numeris</t>
  </si>
  <si>
    <t xml:space="preserve">Tipo pavadinimas</t>
  </si>
  <si>
    <t>Aprašas</t>
  </si>
  <si>
    <t>Dokumentavimas</t>
  </si>
  <si>
    <t xml:space="preserve">komentarai, pranešimai</t>
  </si>
  <si>
    <t>Documentation</t>
  </si>
  <si>
    <t xml:space="preserve">comments, messages</t>
  </si>
  <si>
    <t>Sintaksė</t>
  </si>
  <si>
    <t xml:space="preserve">sintaksinės klaidos</t>
  </si>
  <si>
    <t>Syntax</t>
  </si>
  <si>
    <t xml:space="preserve">spelling, punctuation, typos, instruction formats</t>
  </si>
  <si>
    <t>Versijavimas</t>
  </si>
  <si>
    <t xml:space="preserve">pakeitimų valdymas, versijų kontrolė</t>
  </si>
  <si>
    <t xml:space="preserve">Build, package</t>
  </si>
  <si>
    <t xml:space="preserve">change management, library, version control</t>
  </si>
  <si>
    <t>Vardai</t>
  </si>
  <si>
    <t xml:space="preserve">aprašai, vienodi vardai, galiojimo sritis</t>
  </si>
  <si>
    <t>Assignment</t>
  </si>
  <si>
    <t xml:space="preserve">declaration, duplicate names, scope, limits</t>
  </si>
  <si>
    <t>Interfeisas</t>
  </si>
  <si>
    <t xml:space="preserve">funkcijų/procedūrų iškvietimai, įvedimas-išvedimas, vartotojo formatai</t>
  </si>
  <si>
    <t>Interface</t>
  </si>
  <si>
    <t xml:space="preserve">procedure calls and references, I/O, user formats</t>
  </si>
  <si>
    <t>Kontrolė</t>
  </si>
  <si>
    <t xml:space="preserve">klaidų pranešimai, nepakankama kontrolė</t>
  </si>
  <si>
    <t>Checking</t>
  </si>
  <si>
    <t xml:space="preserve">error messages, inadequate checks</t>
  </si>
  <si>
    <t>Duomenys</t>
  </si>
  <si>
    <t xml:space="preserve">duomenų struktūros ir turinys</t>
  </si>
  <si>
    <t xml:space="preserve">structure, contents</t>
  </si>
  <si>
    <t>Funkcionalumas</t>
  </si>
  <si>
    <t xml:space="preserve">logika, rodyklės, ciklai, rekursija, skaičiavimai, funkcionalumo defektai</t>
  </si>
  <si>
    <t>Function</t>
  </si>
  <si>
    <t xml:space="preserve">logic, pointers, loops, recursion, computation, function defects</t>
  </si>
  <si>
    <t>Sistema</t>
  </si>
  <si>
    <t xml:space="preserve">konfigūracija, sinchronizavimas, atminties valdymas</t>
  </si>
  <si>
    <t>System</t>
  </si>
  <si>
    <t xml:space="preserve">configuration, timing, memory</t>
  </si>
  <si>
    <t>Aplinka</t>
  </si>
  <si>
    <t xml:space="preserve">aplinkos (projektavimo, kompiliavimo, testavimo ar kt.) problemos</t>
  </si>
  <si>
    <t>Environment</t>
  </si>
  <si>
    <t xml:space="preserve">design, compile, test, or other support system problems</t>
  </si>
  <si>
    <t xml:space="preserve">Radimo data</t>
  </si>
  <si>
    <t xml:space="preserve">Defekto numeris</t>
  </si>
  <si>
    <t xml:space="preserve">Defekto tipas</t>
  </si>
  <si>
    <t xml:space="preserve">Padarytas fazėje</t>
  </si>
  <si>
    <t xml:space="preserve">Pašalintas fazėje</t>
  </si>
  <si>
    <t xml:space="preserve">Taisymo laikas</t>
  </si>
  <si>
    <t xml:space="preserve">Taisant defektą</t>
  </si>
  <si>
    <t xml:space="preserve">Detalus defekto aprašas</t>
  </si>
  <si>
    <t>Dydis</t>
  </si>
  <si>
    <t>Planuojama</t>
  </si>
  <si>
    <t xml:space="preserve">Faktinė (iš kodo)</t>
  </si>
  <si>
    <t>Etapas</t>
  </si>
  <si>
    <t xml:space="preserve">Planuojamas laikas</t>
  </si>
  <si>
    <t xml:space="preserve">Faktinis laikas</t>
  </si>
  <si>
    <t xml:space="preserve">Bendras programos dydis</t>
  </si>
  <si>
    <t xml:space="preserve">Iš naujo panaudotas kodas</t>
  </si>
  <si>
    <t xml:space="preserve">Pridėtas kodas</t>
  </si>
  <si>
    <t>Kodavimas</t>
  </si>
  <si>
    <t xml:space="preserve">Pašalintas kodas</t>
  </si>
  <si>
    <t xml:space="preserve">Kompiliavimas / Klaidų taisymai</t>
  </si>
  <si>
    <t xml:space="preserve">Modifikuotas kodas</t>
  </si>
  <si>
    <t>Testavimas</t>
  </si>
  <si>
    <t xml:space="preserve">Grynasis naujas kodas</t>
  </si>
  <si>
    <t xml:space="preserve">Post-mortem (Analizė)</t>
  </si>
  <si>
    <t xml:space="preserve">IŠ VISO</t>
  </si>
  <si>
    <t xml:space="preserve">390 (6.5 val.)</t>
  </si>
  <si>
    <t xml:space="preserve">435 (7.25 val.)</t>
  </si>
  <si>
    <t xml:space="preserve">Rasta klaidų (Planas)</t>
  </si>
  <si>
    <t xml:space="preserve">Rasta klaidų (Faktas)</t>
  </si>
  <si>
    <t>Aspektas</t>
  </si>
  <si>
    <t xml:space="preserve">Tikrinami punktai</t>
  </si>
  <si>
    <t xml:space="preserve">Rasta defektų</t>
  </si>
  <si>
    <t>Išbaigtumas</t>
  </si>
  <si>
    <t xml:space="preserve">Patikrinti, ar realizuotos visos užduoties dalys:
- 2 veikiančios simuliacijos.
- Duomenų nuskaitymas iš failo.</t>
  </si>
  <si>
    <t>Inicializacija</t>
  </si>
  <si>
    <t xml:space="preserve">Patikrinti, ar:
- Paskolos tinkamai įdėtos ir tvarkomos eilėse
- Dinaminė atmintis (malloc) sėkmingai rezervuota (ar nėra NULL).
- Kintamieji inicializuoti prieš naudojimą</t>
  </si>
  <si>
    <t xml:space="preserve">Funkcijų iškvietimas</t>
  </si>
  <si>
    <t xml:space="preserve">Patikrinti rodyklių ir adresų perdavimą:
- Ar tinkamai perduodami argumentai ir jie modifikuojami tik prireikus.
- Ar funkcijos, turinčios grąžinti duomenis, tai daro korektiškai (per return arba rodyklę).</t>
  </si>
  <si>
    <t xml:space="preserve">Patikrinti kintamųjų ir funkcijų pavadinimus:
- Ar pavadinimai informatyvūs.
- Ar laikomasi vieningo stiliaus (camelCase).</t>
  </si>
  <si>
    <t xml:space="preserve">{} poros</t>
  </si>
  <si>
    <t xml:space="preserve">Patikrinti blokų struktūrą:
- Ar visi ciklai ir if sąlygos turi teisingai uždarytus skliaustelius.
- Ar kodo lygiavimas (indentation) atitinka blokus.</t>
  </si>
  <si>
    <t xml:space="preserve">Loginiai operatoriai</t>
  </si>
  <si>
    <t xml:space="preserve">Patikrinti algoritmą:
- Ar vidiniai ciklai neperžengia eilių ribų (OOB - Out of Bounds).
- Ar teisingai naudojamos palyginimo sąlygos (prioritetinėje eilėje).</t>
  </si>
  <si>
    <t xml:space="preserve">Atminties valdymas</t>
  </si>
  <si>
    <t xml:space="preserve">Patikrinti resursų naudojimą:
- Kiekviena eilė po to save susinaikina.</t>
  </si>
  <si>
    <t>Standartai</t>
  </si>
  <si>
    <t xml:space="preserve">Patikrinti, ar programos kodas atitinka naudojamą Kodavimo standartą</t>
  </si>
  <si>
    <t>Failai</t>
  </si>
  <si>
    <t xml:space="preserve">Patikrinti I/O operacijas:
- Ar failas atidaromas (fopen).
- Ar tikrinama, ar failas egzistuoja.
- Ar failas uždaromas (fclose).</t>
  </si>
  <si>
    <t>Viso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</si>
</sst>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;@"/>
  </numFmts>
  <fonts count="13">
    <font>
      <sz val="11.000000"/>
      <color theme="1"/>
      <name val="Calibri"/>
      <scheme val="minor"/>
    </font>
    <font>
      <name val="Times New Roman"/>
    </font>
    <font>
      <b/>
      <sz val="10.000000"/>
      <name val="Arial"/>
    </font>
    <font>
      <sz val="8.000000"/>
      <name val="Liberation Sans"/>
    </font>
    <font>
      <b/>
      <sz val="8.000000"/>
      <name val="Liberation Sans"/>
    </font>
    <font>
      <sz val="8.000000"/>
      <color theme="1"/>
      <name val="Calibri"/>
      <scheme val="minor"/>
    </font>
    <font>
      <sz val="10.000000"/>
      <color theme="1"/>
      <name val="Arial"/>
    </font>
    <font>
      <sz val="10.000000"/>
      <name val="Arial"/>
    </font>
    <font>
      <sz val="9.000000"/>
      <name val="Arial"/>
    </font>
    <font>
      <i/>
      <sz val="8.000000"/>
      <name val="Arial"/>
    </font>
    <font>
      <sz val="8.000000"/>
      <name val="Arial"/>
    </font>
    <font>
      <b/>
      <sz val="9.000000"/>
      <name val="Liberation Sans"/>
    </font>
    <font>
      <sz val="9.000000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65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3">
    <xf fontId="0" fillId="0" borderId="0" numFmtId="0" xfId="0"/>
    <xf fontId="0" fillId="0" borderId="0" numFmtId="164" xfId="0" applyNumberFormat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20" xfId="0" applyNumberFormat="1" applyBorder="1" applyAlignment="1">
      <alignment horizontal="center" vertical="center"/>
    </xf>
    <xf fontId="0" fillId="0" borderId="0" numFmtId="0" xfId="0"/>
    <xf fontId="1" fillId="0" borderId="0" numFmtId="0" xfId="0" applyFont="1" applyAlignment="1">
      <alignment horizontal="left" indent="2"/>
    </xf>
    <xf fontId="0" fillId="0" borderId="1" numFmtId="0" xfId="0" applyBorder="1" applyAlignment="1">
      <alignment horizontal="center" vertical="center" wrapText="1"/>
    </xf>
    <xf fontId="0" fillId="0" borderId="0" numFmtId="20" xfId="0" applyNumberFormat="1" applyAlignment="1">
      <alignment horizontal="center" vertical="center"/>
    </xf>
    <xf fontId="2" fillId="2" borderId="2" numFmtId="0" xfId="0" applyFont="1" applyFill="1" applyBorder="1" applyAlignment="1">
      <alignment horizontal="center" vertical="center" wrapText="1"/>
    </xf>
    <xf fontId="3" fillId="0" borderId="2" numFmtId="0" xfId="0" applyFont="1" applyBorder="1" applyAlignment="1">
      <alignment horizontal="left" vertical="center" wrapText="1"/>
      <protection locked="0"/>
    </xf>
    <xf fontId="3" fillId="3" borderId="2" numFmtId="0" xfId="0" applyFont="1" applyFill="1" applyBorder="1" applyAlignment="1">
      <alignment horizontal="left" vertical="center" wrapText="1"/>
      <protection locked="0"/>
    </xf>
    <xf fontId="3" fillId="0" borderId="2" numFmtId="0" xfId="0" applyFont="1" applyBorder="1" applyAlignment="1">
      <alignment horizontal="left" vertical="center" wrapText="1"/>
    </xf>
    <xf fontId="4" fillId="0" borderId="2" numFmtId="0" xfId="0" applyFont="1" applyBorder="1" applyAlignment="1">
      <alignment horizontal="left" vertical="center" wrapText="1"/>
    </xf>
    <xf fontId="5" fillId="0" borderId="2" numFmtId="0" xfId="0" applyFont="1" applyBorder="1" applyAlignment="1">
      <alignment horizontal="left" vertical="center" wrapText="1"/>
    </xf>
    <xf fontId="6" fillId="0" borderId="2" numFmtId="14" xfId="0" applyNumberFormat="1" applyFont="1" applyBorder="1" applyAlignment="1">
      <alignment horizontal="center" vertical="center"/>
      <protection locked="0"/>
    </xf>
    <xf fontId="6" fillId="0" borderId="2" numFmtId="0" xfId="0" applyFont="1" applyBorder="1" applyAlignment="1">
      <alignment horizontal="center" vertical="center"/>
      <protection locked="0"/>
    </xf>
    <xf fontId="6" fillId="2" borderId="2" numFmtId="2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horizontal="center" vertical="center" wrapText="1"/>
      <protection locked="0"/>
    </xf>
    <xf fontId="6" fillId="0" borderId="2" numFmtId="0" xfId="0" applyFont="1" applyBorder="1" applyAlignment="1">
      <alignment horizontal="center" vertical="center" wrapText="1"/>
      <protection locked="0"/>
    </xf>
    <xf fontId="6" fillId="0" borderId="2" numFmtId="0" xfId="0" applyFont="1" applyBorder="1">
      <protection locked="0"/>
    </xf>
    <xf fontId="6" fillId="2" borderId="2" numFmtId="2" xfId="0" applyNumberFormat="1" applyFont="1" applyFill="1" applyBorder="1" applyAlignment="1">
      <alignment horizontal="center"/>
    </xf>
    <xf fontId="6" fillId="0" borderId="2" numFmtId="0" xfId="0" applyFont="1" applyBorder="1" applyAlignment="1">
      <alignment vertical="top" wrapText="1"/>
      <protection locked="0"/>
    </xf>
    <xf fontId="2" fillId="2" borderId="2" numFmtId="0" xfId="0" applyFont="1" applyFill="1" applyBorder="1" applyAlignment="1">
      <alignment horizontal="center" vertical="center"/>
    </xf>
    <xf fontId="6" fillId="0" borderId="0" numFmtId="0" xfId="0" applyFont="1"/>
    <xf fontId="0" fillId="0" borderId="0" numFmtId="0" xfId="0">
      <protection hidden="0" locked="1"/>
    </xf>
    <xf fontId="8" fillId="0" borderId="2" numFmtId="0" xfId="0" applyFont="1" applyBorder="1" applyAlignment="1">
      <alignment horizontal="center" vertical="center" wrapText="1"/>
      <protection locked="0"/>
    </xf>
    <xf fontId="9" fillId="0" borderId="0" numFmtId="0" xfId="0" applyFont="1"/>
    <xf fontId="6" fillId="0" borderId="2" numFmtId="14" xfId="0" applyNumberFormat="1" applyFont="1" applyBorder="1" applyAlignment="1">
      <alignment horizontal="center" vertical="center"/>
    </xf>
    <xf fontId="6" fillId="0" borderId="2" numFmtId="0" xfId="0" applyFont="1" applyBorder="1" applyAlignment="1">
      <alignment horizontal="center" vertical="center"/>
    </xf>
    <xf fontId="10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11" fillId="0" borderId="2" numFmtId="0" xfId="0" applyFont="1" applyBorder="1" applyAlignment="1">
      <alignment horizontal="center" vertical="center" wrapText="1"/>
    </xf>
    <xf fontId="12" fillId="0" borderId="2" numFmtId="0" xfId="0" applyFont="1" applyBorder="1" applyAlignment="1">
      <alignment horizontal="center" vertical="center" wrapText="1"/>
    </xf>
    <xf fontId="0" fillId="0" borderId="0" numFmtId="0" xfId="0" applyAlignment="1">
      <alignment vertical="center"/>
    </xf>
    <xf fontId="2" fillId="2" borderId="3" numFmtId="0" xfId="0" applyFont="1" applyFill="1" applyBorder="1" applyAlignment="1">
      <alignment horizontal="center" vertical="center"/>
    </xf>
    <xf fontId="2" fillId="2" borderId="4" numFmtId="0" xfId="0" applyFont="1" applyFill="1" applyBorder="1" applyAlignment="1">
      <alignment horizontal="center" vertical="center"/>
    </xf>
    <xf fontId="6" fillId="4" borderId="2" numFmtId="14" xfId="0" applyNumberFormat="1" applyFont="1" applyFill="1" applyBorder="1" applyAlignment="1">
      <alignment vertical="center"/>
      <protection locked="0"/>
    </xf>
    <xf fontId="6" fillId="4" borderId="3" numFmtId="0" xfId="0" applyFont="1" applyFill="1" applyBorder="1" applyAlignment="1">
      <alignment vertical="center" wrapText="1"/>
      <protection locked="0"/>
    </xf>
    <xf fontId="6" fillId="4" borderId="4" numFmtId="0" xfId="0" applyFont="1" applyFill="1" applyBorder="1" applyAlignment="1">
      <alignment vertical="center"/>
      <protection locked="0"/>
    </xf>
    <xf fontId="6" fillId="2" borderId="3" numFmtId="0" xfId="0" applyFont="1" applyFill="1" applyBorder="1" applyAlignment="1">
      <alignment vertical="center"/>
      <protection locked="0"/>
    </xf>
    <xf fontId="6" fillId="2" borderId="5" numFmtId="0" xfId="0" applyFont="1" applyFill="1" applyBorder="1" applyAlignment="1">
      <alignment vertical="center"/>
      <protection locked="0"/>
    </xf>
    <xf fontId="6" fillId="2" borderId="4" numFmtId="0" xfId="0" applyFont="1" applyFill="1" applyBorder="1" applyAlignment="1">
      <alignment horizontal="center" vertical="center"/>
      <protection locked="0"/>
    </xf>
    <xf fontId="6" fillId="4" borderId="2" numFmtId="0" xfId="0" applyFont="1" applyFill="1" applyBorder="1" applyAlignment="1">
      <alignment vertical="center"/>
      <protection locked="0"/>
    </xf>
    <xf fontId="6" fillId="4" borderId="4" numFmtId="0" xfId="0" applyFont="1" applyFill="1" applyBorder="1" applyAlignment="1">
      <alignment vertical="center" wrapText="1"/>
      <protection locked="0"/>
    </xf>
    <xf fontId="6" fillId="4" borderId="2" numFmtId="0" xfId="0" applyFont="1" applyFill="1" applyBorder="1" applyAlignment="1">
      <alignment vertical="center" wrapText="1"/>
      <protection locked="0"/>
    </xf>
    <xf fontId="6" fillId="4" borderId="3" numFmtId="0" xfId="0" applyFont="1" applyFill="1" applyBorder="1" applyAlignment="1">
      <alignment vertical="center"/>
      <protection locked="0"/>
    </xf>
    <xf fontId="2" fillId="2" borderId="3" numFmtId="0" xfId="0" applyFont="1" applyFill="1" applyBorder="1" applyAlignment="1">
      <alignment horizontal="right" vertical="center"/>
      <protection locked="0"/>
    </xf>
    <xf fontId="2" fillId="2" borderId="5" numFmtId="0" xfId="0" applyFont="1" applyFill="1" applyBorder="1" applyAlignment="1">
      <alignment horizontal="right" vertical="center"/>
      <protection locked="0"/>
    </xf>
    <xf fontId="2" fillId="2" borderId="4" numFmtId="0" xfId="0" applyFont="1" applyFill="1" applyBorder="1" applyAlignment="1">
      <alignment horizontal="right" vertical="center"/>
      <protection locked="0"/>
    </xf>
    <xf fontId="2" fillId="2" borderId="2" numFmtId="0" xfId="0" applyFont="1" applyFill="1" applyBorder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15.421875"/>
    <col customWidth="1" min="2" max="3" style="2" width="7.7109375"/>
    <col customWidth="1" min="4" max="4" style="2" width="8.140625"/>
    <col customWidth="1" min="5" max="5" style="2" width="25.8515625"/>
    <col customWidth="1" min="6" max="6" style="2" width="15.7109375"/>
    <col customWidth="1" min="7" max="7" style="2" width="25.8515625"/>
  </cols>
  <sheetData>
    <row r="1" ht="14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I1" t="s">
        <v>7</v>
      </c>
    </row>
    <row r="2" ht="14.25">
      <c r="A2" s="3">
        <v>46127</v>
      </c>
      <c r="B2" s="6">
        <v>0.83819444444444446</v>
      </c>
      <c r="C2" s="6">
        <v>0.84791666666666665</v>
      </c>
      <c r="D2" s="4" t="s">
        <v>8</v>
      </c>
      <c r="E2" s="4" t="s">
        <v>9</v>
      </c>
      <c r="F2" s="5" t="s">
        <v>10</v>
      </c>
      <c r="G2" s="5"/>
      <c r="I2" s="7"/>
    </row>
    <row r="3" ht="14.25">
      <c r="A3" s="3">
        <v>46127</v>
      </c>
      <c r="B3" s="6">
        <v>0.84861111111111109</v>
      </c>
      <c r="C3" s="6">
        <v>0.86597222222222225</v>
      </c>
      <c r="D3" s="4" t="s">
        <v>11</v>
      </c>
      <c r="E3" s="4" t="s">
        <v>12</v>
      </c>
      <c r="F3" s="4" t="s">
        <v>13</v>
      </c>
      <c r="G3" s="4"/>
      <c r="I3" s="8" t="s">
        <v>14</v>
      </c>
    </row>
    <row r="4" ht="14.25">
      <c r="A4" s="3">
        <v>46127</v>
      </c>
      <c r="B4" s="6">
        <v>0.86805555555555558</v>
      </c>
      <c r="C4" s="6">
        <v>0.90625</v>
      </c>
      <c r="D4" s="4" t="s">
        <v>15</v>
      </c>
      <c r="E4" s="4" t="s">
        <v>12</v>
      </c>
      <c r="F4" s="4" t="s">
        <v>16</v>
      </c>
      <c r="G4" s="4" t="s">
        <v>17</v>
      </c>
      <c r="I4" s="8" t="s">
        <v>18</v>
      </c>
    </row>
    <row r="5" ht="28.25" customHeight="1">
      <c r="A5" s="3">
        <v>46131</v>
      </c>
      <c r="B5" s="6">
        <v>0.60833333333333328</v>
      </c>
      <c r="C5" s="6">
        <v>0.71388888888888891</v>
      </c>
      <c r="D5" s="4" t="s">
        <v>19</v>
      </c>
      <c r="E5" s="9" t="s">
        <v>20</v>
      </c>
      <c r="F5" s="4" t="s">
        <v>16</v>
      </c>
      <c r="G5" s="4" t="s">
        <v>21</v>
      </c>
      <c r="I5" s="8" t="s">
        <v>22</v>
      </c>
    </row>
    <row r="6" ht="14.25">
      <c r="A6" s="1">
        <v>46133</v>
      </c>
      <c r="B6" s="10">
        <v>0.73055555555555551</v>
      </c>
      <c r="C6" s="10">
        <v>0.75069444444444444</v>
      </c>
      <c r="D6" s="2" t="s">
        <v>23</v>
      </c>
      <c r="E6" s="2" t="s">
        <v>9</v>
      </c>
      <c r="F6" s="2" t="s">
        <v>24</v>
      </c>
      <c r="G6" s="2" t="s">
        <v>25</v>
      </c>
      <c r="I6" s="8" t="s">
        <v>26</v>
      </c>
    </row>
    <row r="7" ht="14.25">
      <c r="A7" s="3">
        <v>46133</v>
      </c>
      <c r="B7" s="6">
        <v>0.75138888888888888</v>
      </c>
      <c r="C7" s="6">
        <v>0.76180555555555551</v>
      </c>
      <c r="D7" s="4" t="s">
        <v>27</v>
      </c>
      <c r="E7" s="4" t="s">
        <v>9</v>
      </c>
      <c r="F7" s="4" t="s">
        <v>28</v>
      </c>
      <c r="G7" s="4" t="s">
        <v>29</v>
      </c>
      <c r="I7" s="8" t="s">
        <v>30</v>
      </c>
    </row>
    <row r="8" ht="14.25">
      <c r="A8" s="3">
        <v>46133</v>
      </c>
      <c r="B8" s="6">
        <v>0.76249999999999996</v>
      </c>
      <c r="C8" s="6">
        <v>0.78472222222222221</v>
      </c>
      <c r="D8" s="4" t="s">
        <v>31</v>
      </c>
      <c r="E8" s="4" t="s">
        <v>9</v>
      </c>
      <c r="F8" s="4" t="s">
        <v>13</v>
      </c>
      <c r="G8" s="4" t="s">
        <v>32</v>
      </c>
      <c r="I8" s="8" t="s">
        <v>33</v>
      </c>
    </row>
    <row r="9" ht="14.25">
      <c r="A9" s="1"/>
      <c r="B9" s="2"/>
      <c r="C9" s="2"/>
      <c r="D9" s="2"/>
      <c r="E9" s="2"/>
      <c r="F9" s="2"/>
      <c r="G9" s="2"/>
      <c r="I9" s="8" t="s">
        <v>34</v>
      </c>
    </row>
    <row r="10" ht="14.25">
      <c r="A10" s="3"/>
      <c r="B10" s="4"/>
      <c r="C10" s="4"/>
      <c r="D10" s="4"/>
      <c r="E10" s="4"/>
      <c r="F10" s="4"/>
      <c r="G10" s="4"/>
      <c r="I10" s="8" t="s">
        <v>35</v>
      </c>
    </row>
    <row r="11" ht="14.25">
      <c r="A11" s="3"/>
      <c r="B11" s="4"/>
      <c r="C11" s="4"/>
      <c r="D11" s="4"/>
      <c r="E11" s="4"/>
      <c r="F11" s="4"/>
      <c r="G11" s="4"/>
      <c r="I11" s="8" t="s">
        <v>36</v>
      </c>
    </row>
    <row r="12" ht="14.25">
      <c r="A12" s="3"/>
      <c r="B12" s="4"/>
      <c r="C12" s="4"/>
      <c r="D12" s="4"/>
      <c r="E12" s="4"/>
      <c r="F12" s="4"/>
      <c r="G12" s="4"/>
    </row>
    <row r="13" ht="14.25">
      <c r="A13" s="3"/>
      <c r="B13" s="4"/>
      <c r="C13" s="4"/>
      <c r="D13" s="4"/>
      <c r="E13" s="4"/>
      <c r="F13" s="4"/>
      <c r="G13" s="4"/>
    </row>
    <row r="14" ht="14.25">
      <c r="A14" s="3"/>
      <c r="B14" s="4"/>
      <c r="C14" s="4"/>
      <c r="D14" s="4"/>
      <c r="E14" s="4"/>
      <c r="F14" s="4"/>
      <c r="G14" s="4"/>
    </row>
    <row r="15" ht="14.25">
      <c r="A15" s="3"/>
      <c r="B15" s="4"/>
      <c r="C15" s="4"/>
      <c r="D15" s="4"/>
      <c r="E15" s="4"/>
      <c r="F15" s="4"/>
      <c r="G15" s="4"/>
    </row>
    <row r="16" ht="14.25">
      <c r="A16" s="3"/>
      <c r="B16" s="4"/>
      <c r="C16" s="4"/>
      <c r="D16" s="4"/>
      <c r="E16" s="4"/>
      <c r="F16" s="4"/>
      <c r="G16" s="4"/>
    </row>
    <row r="17" ht="14.25">
      <c r="A17" s="3"/>
      <c r="B17" s="4"/>
      <c r="C17" s="4"/>
      <c r="D17" s="4"/>
      <c r="E17" s="4"/>
      <c r="F17" s="4"/>
      <c r="G17" s="4"/>
    </row>
    <row r="18" ht="14.25">
      <c r="A18" s="3"/>
      <c r="B18" s="4"/>
      <c r="C18" s="4"/>
      <c r="D18" s="4"/>
      <c r="E18" s="4"/>
      <c r="F18" s="4"/>
      <c r="G18" s="4"/>
    </row>
    <row r="19" ht="14.25">
      <c r="A19" s="3"/>
      <c r="B19" s="4"/>
      <c r="C19" s="4"/>
      <c r="D19" s="4"/>
      <c r="E19" s="4"/>
      <c r="F19" s="4"/>
      <c r="G19" s="4"/>
    </row>
    <row r="20" ht="14.25">
      <c r="A20" s="3"/>
      <c r="B20" s="4"/>
      <c r="C20" s="4"/>
      <c r="D20" s="4"/>
      <c r="E20" s="4"/>
      <c r="F20" s="4"/>
      <c r="G20" s="4"/>
    </row>
    <row r="21" ht="14.25">
      <c r="A21" s="3"/>
      <c r="B21" s="4"/>
      <c r="C21" s="4"/>
      <c r="D21" s="4"/>
      <c r="E21" s="4"/>
      <c r="F21" s="4"/>
      <c r="G21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28125"/>
    <col customWidth="1" min="3" max="3" width="15.28125"/>
    <col customWidth="1" min="4" max="4" width="13.140625"/>
  </cols>
  <sheetData>
    <row r="1" ht="31.699999999999999" customHeight="1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</row>
    <row r="2" ht="21">
      <c r="A2" s="12" t="s">
        <v>9</v>
      </c>
      <c r="B2" s="12" t="s">
        <v>9</v>
      </c>
      <c r="C2" s="12" t="s">
        <v>44</v>
      </c>
      <c r="D2" s="12" t="s">
        <v>45</v>
      </c>
      <c r="E2" s="12">
        <v>10</v>
      </c>
      <c r="F2" s="12">
        <v>15</v>
      </c>
      <c r="G2" s="12">
        <v>20</v>
      </c>
    </row>
    <row r="3" ht="21">
      <c r="A3" s="12" t="s">
        <v>9</v>
      </c>
      <c r="B3" s="12" t="s">
        <v>9</v>
      </c>
      <c r="C3" s="12" t="s">
        <v>46</v>
      </c>
      <c r="D3" s="12" t="s">
        <v>47</v>
      </c>
      <c r="E3" s="12">
        <v>15</v>
      </c>
      <c r="F3" s="12">
        <v>20</v>
      </c>
      <c r="G3" s="12">
        <v>30</v>
      </c>
    </row>
    <row r="4" ht="31.5">
      <c r="A4" s="12" t="s">
        <v>9</v>
      </c>
      <c r="B4" s="12" t="s">
        <v>9</v>
      </c>
      <c r="C4" s="12" t="s">
        <v>48</v>
      </c>
      <c r="D4" s="12" t="s">
        <v>49</v>
      </c>
      <c r="E4" s="12">
        <v>25</v>
      </c>
      <c r="F4" s="12">
        <v>35</v>
      </c>
      <c r="G4" s="12">
        <v>45</v>
      </c>
    </row>
    <row r="5" ht="31.5">
      <c r="A5" s="13" t="s">
        <v>9</v>
      </c>
      <c r="B5" s="13" t="s">
        <v>9</v>
      </c>
      <c r="C5" s="13" t="s">
        <v>50</v>
      </c>
      <c r="D5" s="12" t="s">
        <v>51</v>
      </c>
      <c r="E5" s="12">
        <v>30</v>
      </c>
      <c r="F5" s="12">
        <v>40</v>
      </c>
      <c r="G5" s="12">
        <v>55</v>
      </c>
    </row>
    <row r="6" ht="14.25">
      <c r="A6" s="14" t="s">
        <v>9</v>
      </c>
      <c r="B6" s="14" t="s">
        <v>9</v>
      </c>
      <c r="C6" s="14" t="s">
        <v>52</v>
      </c>
      <c r="D6" s="14" t="s">
        <v>53</v>
      </c>
      <c r="E6" s="14">
        <v>10</v>
      </c>
      <c r="F6" s="14">
        <v>15</v>
      </c>
      <c r="G6" s="14">
        <v>20</v>
      </c>
    </row>
    <row r="7" ht="14.25">
      <c r="A7" s="14" t="s">
        <v>9</v>
      </c>
      <c r="B7" s="14" t="s">
        <v>9</v>
      </c>
      <c r="C7" s="14" t="s">
        <v>54</v>
      </c>
      <c r="D7" s="14" t="s">
        <v>55</v>
      </c>
      <c r="E7" s="14">
        <v>30</v>
      </c>
      <c r="F7" s="14">
        <v>40</v>
      </c>
      <c r="G7" s="14">
        <v>50</v>
      </c>
    </row>
    <row r="8" ht="21">
      <c r="A8" s="14" t="s">
        <v>9</v>
      </c>
      <c r="B8" s="14" t="s">
        <v>9</v>
      </c>
      <c r="C8" s="14" t="s">
        <v>56</v>
      </c>
      <c r="D8" s="14" t="s">
        <v>57</v>
      </c>
      <c r="E8" s="14">
        <v>30</v>
      </c>
      <c r="F8" s="14">
        <v>40</v>
      </c>
      <c r="G8" s="14">
        <v>50</v>
      </c>
    </row>
    <row r="9" ht="21">
      <c r="A9" s="14" t="s">
        <v>9</v>
      </c>
      <c r="B9" s="14" t="s">
        <v>9</v>
      </c>
      <c r="C9" s="14" t="s">
        <v>58</v>
      </c>
      <c r="D9" s="14" t="s">
        <v>59</v>
      </c>
      <c r="E9" s="14">
        <v>20</v>
      </c>
      <c r="F9" s="14">
        <v>30</v>
      </c>
      <c r="G9" s="14">
        <v>40</v>
      </c>
    </row>
    <row r="10" ht="21">
      <c r="A10" s="15" t="s">
        <v>60</v>
      </c>
      <c r="B10" s="16"/>
      <c r="C10" s="16"/>
      <c r="D10" s="16"/>
      <c r="E10" s="15">
        <v>170</v>
      </c>
      <c r="F10" s="15">
        <v>235</v>
      </c>
      <c r="G10" s="15">
        <v>310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7109375"/>
    <col customWidth="1" min="5" max="5" width="47.28125"/>
  </cols>
  <sheetData>
    <row r="1" ht="27" customHeight="1">
      <c r="A1" s="11" t="s">
        <v>37</v>
      </c>
      <c r="B1" s="11" t="s">
        <v>61</v>
      </c>
      <c r="C1" s="11" t="s">
        <v>38</v>
      </c>
      <c r="D1" s="11" t="s">
        <v>62</v>
      </c>
      <c r="E1" s="11" t="s">
        <v>63</v>
      </c>
    </row>
    <row r="2" ht="14.25">
      <c r="A2" s="17" t="s">
        <v>64</v>
      </c>
      <c r="B2" s="18">
        <v>67</v>
      </c>
      <c r="C2" s="18">
        <v>107</v>
      </c>
      <c r="D2" s="19">
        <f>B2/C2</f>
        <v>0.62616822429906538</v>
      </c>
      <c r="E2" s="20" t="s">
        <v>65</v>
      </c>
    </row>
    <row r="3" ht="13.699999999999999" customHeight="1">
      <c r="A3" s="18" t="s">
        <v>66</v>
      </c>
      <c r="B3" s="18">
        <v>42</v>
      </c>
      <c r="C3" s="18">
        <v>64</v>
      </c>
      <c r="D3" s="19">
        <f>B3/C3</f>
        <v>0.65625</v>
      </c>
      <c r="E3" s="21" t="s">
        <v>67</v>
      </c>
    </row>
    <row r="4" ht="14.25">
      <c r="A4" s="18" t="s">
        <v>68</v>
      </c>
      <c r="B4" s="18">
        <v>126</v>
      </c>
      <c r="C4" s="18">
        <v>131</v>
      </c>
      <c r="D4" s="19">
        <f>B4/C4</f>
        <v>0.96183206106870234</v>
      </c>
      <c r="E4" s="21" t="s">
        <v>69</v>
      </c>
    </row>
    <row r="5" ht="14.25">
      <c r="A5" s="18" t="s">
        <v>70</v>
      </c>
      <c r="B5" s="18">
        <v>23</v>
      </c>
      <c r="C5" s="18">
        <v>52</v>
      </c>
      <c r="D5" s="19">
        <f>B5/C5</f>
        <v>0.44230769230769229</v>
      </c>
      <c r="E5" s="21" t="s">
        <v>71</v>
      </c>
    </row>
    <row r="6" ht="14.25">
      <c r="A6" s="22"/>
      <c r="B6" s="22"/>
      <c r="C6" s="22"/>
      <c r="D6" s="23" t="e">
        <f>B6/C6</f>
        <v>#DIV/0!</v>
      </c>
      <c r="E6" s="24"/>
    </row>
    <row r="7" ht="14.25">
      <c r="A7" s="22"/>
      <c r="B7" s="22"/>
      <c r="C7" s="22"/>
      <c r="D7" s="23" t="e">
        <f>B7/C7</f>
        <v>#DIV/0!</v>
      </c>
      <c r="E7" s="24"/>
    </row>
    <row r="8" ht="14.25">
      <c r="A8" s="22"/>
      <c r="B8" s="22"/>
      <c r="C8" s="22"/>
      <c r="D8" s="23" t="e">
        <f>B8/C8</f>
        <v>#DIV/0!</v>
      </c>
      <c r="E8" s="24"/>
    </row>
    <row r="9" ht="14.25">
      <c r="A9" s="22"/>
      <c r="B9" s="22"/>
      <c r="C9" s="22"/>
      <c r="D9" s="23" t="e">
        <f>B9/C9</f>
        <v>#DIV/0!</v>
      </c>
      <c r="E9" s="24"/>
    </row>
    <row r="10" ht="14.25">
      <c r="A10" s="22"/>
      <c r="B10" s="22"/>
      <c r="C10" s="22"/>
      <c r="D10" s="23" t="e">
        <f>B10/C10</f>
        <v>#DIV/0!</v>
      </c>
      <c r="E10" s="24"/>
    </row>
    <row r="11" ht="14.25">
      <c r="A11" s="22"/>
      <c r="B11" s="22"/>
      <c r="C11" s="22"/>
      <c r="D11" s="23" t="e">
        <f>B11/C11</f>
        <v>#DIV/0!</v>
      </c>
      <c r="E11" s="24"/>
    </row>
    <row r="12" ht="14.25">
      <c r="A12" s="22"/>
      <c r="B12" s="22"/>
      <c r="C12" s="22"/>
      <c r="D12" s="23" t="e">
        <f>B12/C12</f>
        <v>#DIV/0!</v>
      </c>
      <c r="E12" s="24"/>
    </row>
    <row r="13" ht="14.25">
      <c r="A13" s="22"/>
      <c r="B13" s="22"/>
      <c r="C13" s="22"/>
      <c r="D13" s="23" t="e">
        <f>B13/C13</f>
        <v>#DIV/0!</v>
      </c>
      <c r="E13" s="24"/>
    </row>
    <row r="14" ht="14.25">
      <c r="A14" s="22"/>
      <c r="B14" s="22"/>
      <c r="C14" s="22"/>
      <c r="D14" s="23" t="e">
        <f>B14/C14</f>
        <v>#DIV/0!</v>
      </c>
      <c r="E14" s="24"/>
    </row>
    <row r="15" ht="14.25">
      <c r="A15" s="22"/>
      <c r="B15" s="22"/>
      <c r="C15" s="22"/>
      <c r="D15" s="23" t="e">
        <f>B15/C15</f>
        <v>#DIV/0!</v>
      </c>
      <c r="E15" s="24"/>
    </row>
    <row r="16" ht="14.25">
      <c r="A16" s="22"/>
      <c r="B16" s="22"/>
      <c r="C16" s="22"/>
      <c r="D16" s="23" t="e">
        <f>B16/C16</f>
        <v>#DIV/0!</v>
      </c>
      <c r="E16" s="24"/>
    </row>
    <row r="17" ht="14.25">
      <c r="A17" s="22"/>
      <c r="B17" s="22"/>
      <c r="C17" s="22"/>
      <c r="D17" s="23" t="e">
        <f>B17/C17</f>
        <v>#DIV/0!</v>
      </c>
      <c r="E17" s="24"/>
    </row>
    <row r="18" ht="14.25">
      <c r="A18" s="22"/>
      <c r="B18" s="22"/>
      <c r="C18" s="22"/>
      <c r="D18" s="23" t="e">
        <f>B18/C18</f>
        <v>#DIV/0!</v>
      </c>
      <c r="E18" s="24"/>
    </row>
    <row r="19" ht="14.25">
      <c r="A19" s="22"/>
      <c r="B19" s="22"/>
      <c r="C19" s="22"/>
      <c r="D19" s="23" t="e">
        <f>B19/C19</f>
        <v>#DIV/0!</v>
      </c>
      <c r="E19" s="24"/>
    </row>
    <row r="20" ht="14.25">
      <c r="A20" s="22"/>
      <c r="B20" s="22"/>
      <c r="C20" s="22"/>
      <c r="D20" s="23" t="e">
        <f>B20/C20</f>
        <v>#DIV/0!</v>
      </c>
      <c r="E20" s="24"/>
    </row>
    <row r="21" ht="14.25">
      <c r="A21" s="22"/>
      <c r="B21" s="22"/>
      <c r="C21" s="22"/>
      <c r="D21" s="23" t="e">
        <f>B21/C21</f>
        <v>#DIV/0!</v>
      </c>
      <c r="E21" s="24"/>
    </row>
    <row r="22" ht="14.25">
      <c r="A22" s="22"/>
      <c r="B22" s="22"/>
      <c r="C22" s="22"/>
      <c r="D22" s="23" t="e">
        <f>B22/C22</f>
        <v>#DIV/0!</v>
      </c>
      <c r="E22" s="24"/>
    </row>
    <row r="23" ht="14.25">
      <c r="A23" s="22"/>
      <c r="B23" s="22"/>
      <c r="C23" s="22"/>
      <c r="D23" s="23" t="e">
        <f>B23/C23</f>
        <v>#DIV/0!</v>
      </c>
      <c r="E23" s="24"/>
    </row>
    <row r="24" ht="14.25">
      <c r="A24" s="22"/>
      <c r="B24" s="22"/>
      <c r="C24" s="22"/>
      <c r="D24" s="23" t="e">
        <f>B24/C24</f>
        <v>#DIV/0!</v>
      </c>
      <c r="E24" s="24"/>
    </row>
    <row r="25" ht="14.25">
      <c r="A25" s="22"/>
      <c r="B25" s="22"/>
      <c r="C25" s="22"/>
      <c r="D25" s="23" t="e">
        <f>B25/C25</f>
        <v>#DIV/0!</v>
      </c>
      <c r="E25" s="24"/>
    </row>
  </sheetData>
  <dataValidations count="1" disablePrompts="0">
    <dataValidation sqref="D2:D25" type="none" allowBlank="1" error="Fazę reikia pasirinkti!" errorStyle="stop" errorTitle="Klaida" imeMode="noControl" operator="between" prompt="fazę" promptTitle="Pasirinkite" showDropDown="0" showErrorMessage="1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2" width="9.140625"/>
    <col customWidth="1" min="2" max="2" style="2" width="17.28125"/>
    <col customWidth="1" min="3" max="3" style="2" width="35.00390625"/>
    <col min="4" max="4" style="0" width="9.140625"/>
  </cols>
  <sheetData>
    <row r="1" ht="25.5">
      <c r="A1" s="11" t="s">
        <v>72</v>
      </c>
      <c r="B1" s="11" t="s">
        <v>73</v>
      </c>
      <c r="C1" s="25" t="s">
        <v>74</v>
      </c>
      <c r="D1" s="26"/>
      <c r="E1" s="27"/>
      <c r="F1" s="27"/>
    </row>
    <row r="2" ht="21" customHeight="1">
      <c r="A2" s="18">
        <v>10</v>
      </c>
      <c r="B2" s="18" t="s">
        <v>75</v>
      </c>
      <c r="C2" s="28" t="s">
        <v>76</v>
      </c>
      <c r="D2" s="26"/>
      <c r="E2" s="29" t="s">
        <v>77</v>
      </c>
      <c r="F2" s="29" t="s">
        <v>78</v>
      </c>
    </row>
    <row r="3" ht="21" customHeight="1">
      <c r="A3" s="18">
        <v>20</v>
      </c>
      <c r="B3" s="18" t="s">
        <v>79</v>
      </c>
      <c r="C3" s="28" t="s">
        <v>80</v>
      </c>
      <c r="D3" s="26"/>
      <c r="E3" s="29" t="s">
        <v>81</v>
      </c>
      <c r="F3" s="29" t="s">
        <v>82</v>
      </c>
    </row>
    <row r="4" ht="21" customHeight="1">
      <c r="A4" s="18">
        <v>30</v>
      </c>
      <c r="B4" s="18" t="s">
        <v>83</v>
      </c>
      <c r="C4" s="28" t="s">
        <v>84</v>
      </c>
      <c r="D4" s="26"/>
      <c r="E4" s="29" t="s">
        <v>85</v>
      </c>
      <c r="F4" s="29" t="s">
        <v>86</v>
      </c>
    </row>
    <row r="5" ht="21" customHeight="1">
      <c r="A5" s="18">
        <v>40</v>
      </c>
      <c r="B5" s="18" t="s">
        <v>87</v>
      </c>
      <c r="C5" s="28" t="s">
        <v>88</v>
      </c>
      <c r="D5" s="26"/>
      <c r="E5" s="29" t="s">
        <v>89</v>
      </c>
      <c r="F5" s="29" t="s">
        <v>90</v>
      </c>
    </row>
    <row r="6" ht="21" customHeight="1">
      <c r="A6" s="18">
        <v>50</v>
      </c>
      <c r="B6" s="18" t="s">
        <v>91</v>
      </c>
      <c r="C6" s="28" t="s">
        <v>92</v>
      </c>
      <c r="D6" s="26"/>
      <c r="E6" s="29" t="s">
        <v>93</v>
      </c>
      <c r="F6" s="29" t="s">
        <v>94</v>
      </c>
    </row>
    <row r="7" ht="21" customHeight="1">
      <c r="A7" s="18">
        <v>60</v>
      </c>
      <c r="B7" s="18" t="s">
        <v>95</v>
      </c>
      <c r="C7" s="28" t="s">
        <v>96</v>
      </c>
      <c r="D7" s="26"/>
      <c r="E7" s="29" t="s">
        <v>97</v>
      </c>
      <c r="F7" s="29" t="s">
        <v>98</v>
      </c>
    </row>
    <row r="8" ht="21" customHeight="1">
      <c r="A8" s="18">
        <v>70</v>
      </c>
      <c r="B8" s="18" t="s">
        <v>99</v>
      </c>
      <c r="C8" s="28" t="s">
        <v>100</v>
      </c>
      <c r="D8" s="26"/>
      <c r="E8" s="29" t="s">
        <v>0</v>
      </c>
      <c r="F8" s="29" t="s">
        <v>101</v>
      </c>
    </row>
    <row r="9" ht="21" customHeight="1">
      <c r="A9" s="18">
        <v>80</v>
      </c>
      <c r="B9" s="18" t="s">
        <v>102</v>
      </c>
      <c r="C9" s="28" t="s">
        <v>103</v>
      </c>
      <c r="D9" s="26"/>
      <c r="E9" s="29" t="s">
        <v>104</v>
      </c>
      <c r="F9" s="29" t="s">
        <v>105</v>
      </c>
    </row>
    <row r="10" ht="21" customHeight="1">
      <c r="A10" s="18">
        <v>90</v>
      </c>
      <c r="B10" s="18" t="s">
        <v>106</v>
      </c>
      <c r="C10" s="28" t="s">
        <v>107</v>
      </c>
      <c r="D10" s="26"/>
      <c r="E10" s="29" t="s">
        <v>108</v>
      </c>
      <c r="F10" s="29" t="s">
        <v>109</v>
      </c>
    </row>
    <row r="11" ht="21" customHeight="1">
      <c r="A11" s="18">
        <v>100</v>
      </c>
      <c r="B11" s="18" t="s">
        <v>110</v>
      </c>
      <c r="C11" s="28" t="s">
        <v>111</v>
      </c>
      <c r="D11" s="26"/>
      <c r="E11" s="29" t="s">
        <v>112</v>
      </c>
      <c r="F11" s="29" t="s">
        <v>113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8" style="2" width="13.421875"/>
  </cols>
  <sheetData>
    <row r="1" ht="38.25">
      <c r="A1" s="11" t="s">
        <v>114</v>
      </c>
      <c r="B1" s="11" t="s">
        <v>115</v>
      </c>
      <c r="C1" s="11" t="s">
        <v>116</v>
      </c>
      <c r="D1" s="11" t="s">
        <v>117</v>
      </c>
      <c r="E1" s="11" t="s">
        <v>118</v>
      </c>
      <c r="F1" s="11" t="s">
        <v>119</v>
      </c>
      <c r="G1" s="11" t="s">
        <v>120</v>
      </c>
      <c r="H1" s="11" t="s">
        <v>121</v>
      </c>
    </row>
    <row r="2">
      <c r="A2" s="30"/>
      <c r="B2" s="31"/>
      <c r="C2" s="31"/>
      <c r="D2" s="31"/>
      <c r="E2" s="31"/>
      <c r="F2" s="31"/>
      <c r="G2" s="31"/>
      <c r="H2" s="32"/>
    </row>
    <row r="3">
      <c r="A3" s="31"/>
      <c r="B3" s="31"/>
      <c r="C3" s="31"/>
      <c r="D3" s="31"/>
      <c r="E3" s="31"/>
      <c r="F3" s="31"/>
      <c r="G3" s="31"/>
      <c r="H3" s="33"/>
    </row>
    <row r="4">
      <c r="A4" s="31"/>
      <c r="B4" s="31"/>
      <c r="C4" s="31"/>
      <c r="D4" s="31"/>
      <c r="E4" s="31"/>
      <c r="F4" s="31"/>
      <c r="G4" s="31"/>
      <c r="H4" s="33"/>
    </row>
    <row r="5">
      <c r="A5" s="31"/>
      <c r="B5" s="31"/>
      <c r="C5" s="31"/>
      <c r="D5" s="31"/>
      <c r="E5" s="31"/>
      <c r="F5" s="31"/>
      <c r="G5" s="31"/>
      <c r="H5" s="33"/>
    </row>
    <row r="6">
      <c r="A6" s="31"/>
      <c r="B6" s="31"/>
      <c r="C6" s="31"/>
      <c r="D6" s="31"/>
      <c r="E6" s="31"/>
      <c r="F6" s="31"/>
      <c r="G6" s="31"/>
      <c r="H6" s="33"/>
    </row>
    <row r="7">
      <c r="A7" s="31"/>
      <c r="B7" s="31"/>
      <c r="C7" s="31"/>
      <c r="D7" s="31"/>
      <c r="E7" s="31"/>
      <c r="F7" s="31"/>
      <c r="G7" s="31"/>
      <c r="H7" s="33"/>
    </row>
    <row r="8">
      <c r="A8" s="31"/>
      <c r="B8" s="31"/>
      <c r="C8" s="31"/>
      <c r="D8" s="31"/>
      <c r="E8" s="31"/>
      <c r="F8" s="31"/>
      <c r="G8" s="31"/>
      <c r="H8" s="33"/>
    </row>
    <row r="9">
      <c r="A9" s="31"/>
      <c r="B9" s="31"/>
      <c r="C9" s="31"/>
      <c r="D9" s="31"/>
      <c r="E9" s="31"/>
      <c r="F9" s="31"/>
      <c r="G9" s="31"/>
      <c r="H9" s="33"/>
    </row>
    <row r="10">
      <c r="A10" s="31"/>
      <c r="B10" s="31"/>
      <c r="C10" s="31"/>
      <c r="D10" s="31"/>
      <c r="E10" s="31"/>
      <c r="F10" s="31"/>
      <c r="G10" s="31"/>
      <c r="H10" s="33"/>
    </row>
    <row r="11">
      <c r="A11" s="31"/>
      <c r="B11" s="31"/>
      <c r="C11" s="31"/>
      <c r="D11" s="31"/>
      <c r="E11" s="31"/>
      <c r="F11" s="31"/>
      <c r="G11" s="31"/>
      <c r="H11" s="33"/>
    </row>
    <row r="12">
      <c r="A12" s="31"/>
      <c r="B12" s="31"/>
      <c r="C12" s="31"/>
      <c r="D12" s="31"/>
      <c r="E12" s="31"/>
      <c r="F12" s="31"/>
      <c r="G12" s="31"/>
      <c r="H12" s="33"/>
    </row>
    <row r="13">
      <c r="A13" s="31"/>
      <c r="B13" s="31"/>
      <c r="C13" s="31"/>
      <c r="D13" s="31"/>
      <c r="E13" s="31"/>
      <c r="F13" s="31"/>
      <c r="G13" s="31"/>
      <c r="H13" s="33"/>
    </row>
    <row r="14">
      <c r="A14" s="31"/>
      <c r="B14" s="31"/>
      <c r="C14" s="31"/>
      <c r="D14" s="31"/>
      <c r="E14" s="31"/>
      <c r="F14" s="31"/>
      <c r="G14" s="31"/>
      <c r="H14" s="33"/>
    </row>
    <row r="15">
      <c r="A15" s="31"/>
      <c r="B15" s="31"/>
      <c r="C15" s="31"/>
      <c r="D15" s="31"/>
      <c r="E15" s="31"/>
      <c r="F15" s="31"/>
      <c r="G15" s="31"/>
      <c r="H15" s="33"/>
    </row>
    <row r="16">
      <c r="A16" s="31"/>
      <c r="B16" s="31"/>
      <c r="C16" s="31"/>
      <c r="D16" s="31"/>
      <c r="E16" s="31"/>
      <c r="F16" s="31"/>
      <c r="G16" s="31"/>
      <c r="H16" s="33"/>
    </row>
    <row r="17">
      <c r="A17" s="31"/>
      <c r="B17" s="31"/>
      <c r="C17" s="31"/>
      <c r="D17" s="31"/>
      <c r="E17" s="31"/>
      <c r="F17" s="31"/>
      <c r="G17" s="31"/>
      <c r="H17" s="33"/>
    </row>
    <row r="18">
      <c r="A18" s="31"/>
      <c r="B18" s="31"/>
      <c r="C18" s="31"/>
      <c r="D18" s="31"/>
      <c r="E18" s="31"/>
      <c r="F18" s="31"/>
      <c r="G18" s="31"/>
      <c r="H18" s="33"/>
    </row>
    <row r="19">
      <c r="A19" s="31"/>
      <c r="B19" s="31"/>
      <c r="C19" s="31"/>
      <c r="D19" s="31"/>
      <c r="E19" s="31"/>
      <c r="F19" s="31"/>
      <c r="G19" s="31"/>
      <c r="H19" s="33"/>
    </row>
    <row r="20">
      <c r="A20" s="31"/>
      <c r="B20" s="31"/>
      <c r="C20" s="31"/>
      <c r="D20" s="31"/>
      <c r="E20" s="31"/>
      <c r="F20" s="31"/>
      <c r="G20" s="31"/>
      <c r="H20" s="33"/>
    </row>
    <row r="21">
      <c r="A21" s="31"/>
      <c r="B21" s="31"/>
      <c r="C21" s="31"/>
      <c r="D21" s="31"/>
      <c r="E21" s="31"/>
      <c r="F21" s="31"/>
      <c r="G21" s="31"/>
      <c r="H21" s="33"/>
    </row>
    <row r="22">
      <c r="A22" s="31"/>
      <c r="B22" s="31"/>
      <c r="C22" s="31"/>
      <c r="D22" s="31"/>
      <c r="E22" s="31"/>
      <c r="F22" s="31"/>
      <c r="G22" s="31"/>
      <c r="H22" s="33"/>
    </row>
    <row r="23">
      <c r="A23" s="31"/>
      <c r="B23" s="31"/>
      <c r="C23" s="31"/>
      <c r="D23" s="31"/>
      <c r="E23" s="31"/>
      <c r="F23" s="31"/>
      <c r="G23" s="31"/>
      <c r="H23" s="33"/>
    </row>
    <row r="24">
      <c r="A24" s="31"/>
      <c r="B24" s="31"/>
      <c r="C24" s="31"/>
      <c r="D24" s="31"/>
      <c r="E24" s="31"/>
      <c r="F24" s="31"/>
      <c r="G24" s="31"/>
      <c r="H24" s="33"/>
    </row>
    <row r="25">
      <c r="A25" s="31"/>
      <c r="B25" s="31"/>
      <c r="C25" s="31"/>
      <c r="D25" s="31"/>
      <c r="E25" s="31"/>
      <c r="F25" s="31"/>
      <c r="G25" s="31"/>
      <c r="H25" s="33"/>
    </row>
    <row r="26">
      <c r="A26" s="31"/>
      <c r="B26" s="31"/>
      <c r="C26" s="31"/>
      <c r="D26" s="31"/>
      <c r="E26" s="31"/>
      <c r="F26" s="31"/>
      <c r="G26" s="31"/>
      <c r="H26" s="33"/>
    </row>
    <row r="27">
      <c r="A27" s="31"/>
      <c r="B27" s="31"/>
      <c r="C27" s="31"/>
      <c r="D27" s="31"/>
      <c r="E27" s="31"/>
      <c r="F27" s="31"/>
      <c r="G27" s="31"/>
      <c r="H27" s="33"/>
    </row>
    <row r="28">
      <c r="A28" s="31"/>
      <c r="B28" s="31"/>
      <c r="C28" s="31"/>
      <c r="D28" s="31"/>
      <c r="E28" s="31"/>
      <c r="F28" s="31"/>
      <c r="G28" s="31"/>
      <c r="H28" s="33"/>
    </row>
    <row r="29">
      <c r="A29" s="31"/>
      <c r="B29" s="31"/>
      <c r="C29" s="31"/>
      <c r="D29" s="31"/>
      <c r="E29" s="31"/>
      <c r="F29" s="31"/>
      <c r="G29" s="31"/>
      <c r="H29" s="33"/>
    </row>
    <row r="30">
      <c r="A30" s="31"/>
      <c r="B30" s="31"/>
      <c r="C30" s="31"/>
      <c r="D30" s="31"/>
      <c r="E30" s="31"/>
      <c r="F30" s="31"/>
      <c r="G30" s="31"/>
      <c r="H30" s="33"/>
    </row>
    <row r="31">
      <c r="A31" s="31"/>
      <c r="B31" s="31"/>
      <c r="C31" s="31"/>
      <c r="D31" s="31"/>
      <c r="E31" s="31"/>
      <c r="F31" s="31"/>
      <c r="G31" s="31"/>
      <c r="H31" s="3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5E007E-00A8-430C-BC9D-008400B10065}" type="list" allowBlank="1" error="Fazę reikia pasirinkti!" errorStyle="stop" errorTitle="Klaida" imeMode="noControl" operator="between" prompt="fazę" promptTitle="Pasirinkite" showDropDown="0" showErrorMessage="1" showInputMessage="1">
          <x14:formula1>
            <xm:f>$J$6:$J$12</xm:f>
          </x14:formula1>
          <xm:sqref>D2:E31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2" width="24.421875"/>
    <col min="2" max="4" style="2" width="9.140625"/>
    <col customWidth="1" min="5" max="5" style="2" width="15.00390625"/>
    <col customWidth="1" min="6" max="7" style="2" width="12.140625"/>
  </cols>
  <sheetData>
    <row r="1" ht="22.5">
      <c r="A1" s="34" t="s">
        <v>122</v>
      </c>
      <c r="B1" s="34" t="s">
        <v>123</v>
      </c>
      <c r="C1" s="34" t="s">
        <v>124</v>
      </c>
      <c r="D1" s="2"/>
      <c r="E1" s="34" t="s">
        <v>125</v>
      </c>
      <c r="F1" s="34" t="s">
        <v>126</v>
      </c>
      <c r="G1" s="34" t="s">
        <v>127</v>
      </c>
    </row>
    <row r="2" ht="14.25">
      <c r="A2" s="34" t="s">
        <v>128</v>
      </c>
      <c r="B2" s="35">
        <v>350</v>
      </c>
      <c r="C2" s="35">
        <v>320</v>
      </c>
      <c r="D2" s="2"/>
      <c r="E2" s="34" t="s">
        <v>10</v>
      </c>
      <c r="F2" s="35">
        <v>30</v>
      </c>
      <c r="G2" s="35">
        <v>45</v>
      </c>
    </row>
    <row r="3" ht="14.25">
      <c r="A3" s="34" t="s">
        <v>129</v>
      </c>
      <c r="B3" s="35">
        <v>50</v>
      </c>
      <c r="C3" s="35">
        <v>0</v>
      </c>
      <c r="D3" s="2"/>
      <c r="E3" s="34" t="s">
        <v>24</v>
      </c>
      <c r="F3" s="35">
        <v>60</v>
      </c>
      <c r="G3" s="35">
        <v>50</v>
      </c>
    </row>
    <row r="4" ht="14.25">
      <c r="A4" s="34" t="s">
        <v>130</v>
      </c>
      <c r="B4" s="35">
        <v>300</v>
      </c>
      <c r="C4" s="35">
        <v>320</v>
      </c>
      <c r="D4" s="2"/>
      <c r="E4" s="34" t="s">
        <v>131</v>
      </c>
      <c r="F4" s="35">
        <v>180</v>
      </c>
      <c r="G4" s="35">
        <v>220</v>
      </c>
    </row>
    <row r="5" ht="22.5">
      <c r="A5" s="34" t="s">
        <v>132</v>
      </c>
      <c r="B5" s="35">
        <v>0</v>
      </c>
      <c r="C5" s="35">
        <v>15</v>
      </c>
      <c r="D5" s="2"/>
      <c r="E5" s="34" t="s">
        <v>133</v>
      </c>
      <c r="F5" s="35">
        <v>40</v>
      </c>
      <c r="G5" s="35">
        <v>60</v>
      </c>
    </row>
    <row r="6" ht="14.25">
      <c r="A6" s="34" t="s">
        <v>134</v>
      </c>
      <c r="B6" s="35">
        <v>20</v>
      </c>
      <c r="C6" s="35">
        <v>10</v>
      </c>
      <c r="D6" s="2"/>
      <c r="E6" s="34" t="s">
        <v>135</v>
      </c>
      <c r="F6" s="35">
        <v>60</v>
      </c>
      <c r="G6" s="35">
        <v>45</v>
      </c>
    </row>
    <row r="7" ht="22.5">
      <c r="A7" s="34" t="s">
        <v>136</v>
      </c>
      <c r="B7" s="35">
        <v>280</v>
      </c>
      <c r="C7" s="35">
        <v>310</v>
      </c>
      <c r="D7" s="2"/>
      <c r="E7" s="34" t="s">
        <v>137</v>
      </c>
      <c r="F7" s="35">
        <v>20</v>
      </c>
      <c r="G7" s="35">
        <v>15</v>
      </c>
    </row>
    <row r="8" ht="14.25">
      <c r="A8" s="2"/>
      <c r="B8" s="2"/>
      <c r="C8" s="2"/>
      <c r="D8" s="2"/>
      <c r="E8" s="34" t="s">
        <v>138</v>
      </c>
      <c r="F8" s="34" t="s">
        <v>139</v>
      </c>
      <c r="G8" s="34" t="s">
        <v>140</v>
      </c>
    </row>
    <row r="9" ht="33.75">
      <c r="A9" s="34" t="s">
        <v>125</v>
      </c>
      <c r="B9" s="34" t="s">
        <v>141</v>
      </c>
      <c r="C9" s="34" t="s">
        <v>142</v>
      </c>
    </row>
    <row r="10" ht="14.25">
      <c r="A10" s="34" t="s">
        <v>24</v>
      </c>
      <c r="B10" s="35">
        <v>2</v>
      </c>
      <c r="C10" s="35">
        <v>1</v>
      </c>
    </row>
    <row r="11" ht="14.25">
      <c r="A11" s="34" t="s">
        <v>131</v>
      </c>
      <c r="B11" s="35">
        <v>10</v>
      </c>
      <c r="C11" s="35">
        <v>14</v>
      </c>
    </row>
    <row r="12" ht="14.25">
      <c r="A12" s="34" t="s">
        <v>28</v>
      </c>
      <c r="B12" s="35">
        <v>15</v>
      </c>
      <c r="C12" s="35">
        <v>18</v>
      </c>
    </row>
    <row r="13" ht="14.25">
      <c r="A13" s="34" t="s">
        <v>135</v>
      </c>
      <c r="B13" s="35">
        <v>5</v>
      </c>
      <c r="C13" s="35">
        <v>3</v>
      </c>
    </row>
    <row r="14" ht="14.25">
      <c r="A14" s="34" t="s">
        <v>138</v>
      </c>
      <c r="B14" s="34">
        <v>32</v>
      </c>
      <c r="C14" s="34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3" style="36" width="34.8515625"/>
    <col customWidth="1" min="4" max="4" style="2" width="10.28125"/>
  </cols>
  <sheetData>
    <row r="1" ht="25.5">
      <c r="A1" s="11" t="s">
        <v>143</v>
      </c>
      <c r="B1" s="37" t="s">
        <v>144</v>
      </c>
      <c r="C1" s="38"/>
      <c r="D1" s="11" t="s">
        <v>145</v>
      </c>
    </row>
    <row r="2" ht="41.549999999999997" customHeight="1">
      <c r="A2" s="39" t="s">
        <v>146</v>
      </c>
      <c r="B2" s="40" t="s">
        <v>147</v>
      </c>
      <c r="C2" s="41"/>
      <c r="D2" s="21">
        <v>0</v>
      </c>
    </row>
    <row r="3">
      <c r="A3" s="42"/>
      <c r="B3" s="43"/>
      <c r="C3" s="43"/>
      <c r="D3" s="44"/>
    </row>
    <row r="4" ht="52.25" customHeight="1">
      <c r="A4" s="45" t="s">
        <v>148</v>
      </c>
      <c r="B4" s="40" t="s">
        <v>149</v>
      </c>
      <c r="C4" s="46"/>
      <c r="D4" s="21">
        <v>0</v>
      </c>
    </row>
    <row r="5">
      <c r="A5" s="42"/>
      <c r="B5" s="43"/>
      <c r="C5" s="43"/>
      <c r="D5" s="44"/>
    </row>
    <row r="6" ht="52.25" customHeight="1">
      <c r="A6" s="47" t="s">
        <v>150</v>
      </c>
      <c r="B6" s="40" t="s">
        <v>151</v>
      </c>
      <c r="C6" s="46"/>
      <c r="D6" s="21">
        <v>0</v>
      </c>
    </row>
    <row r="7">
      <c r="A7" s="42"/>
      <c r="B7" s="43"/>
      <c r="C7" s="43"/>
      <c r="D7" s="44"/>
    </row>
    <row r="8" ht="44.149999999999999" customHeight="1">
      <c r="A8" s="45" t="s">
        <v>87</v>
      </c>
      <c r="B8" s="40" t="s">
        <v>152</v>
      </c>
      <c r="C8" s="46"/>
      <c r="D8" s="21">
        <v>0</v>
      </c>
    </row>
    <row r="9">
      <c r="A9" s="42"/>
      <c r="B9" s="43"/>
      <c r="C9" s="43"/>
      <c r="D9" s="44"/>
    </row>
    <row r="10" ht="42" customHeight="1">
      <c r="A10" s="45" t="s">
        <v>153</v>
      </c>
      <c r="B10" s="40" t="s">
        <v>154</v>
      </c>
      <c r="C10" s="41"/>
      <c r="D10" s="21">
        <v>0</v>
      </c>
    </row>
    <row r="11">
      <c r="A11" s="42"/>
      <c r="B11" s="43"/>
      <c r="C11" s="43"/>
      <c r="D11" s="44"/>
    </row>
    <row r="12" ht="39.850000000000001" customHeight="1">
      <c r="A12" s="45" t="s">
        <v>155</v>
      </c>
      <c r="B12" s="40" t="s">
        <v>156</v>
      </c>
      <c r="C12" s="46"/>
      <c r="D12" s="21">
        <v>0</v>
      </c>
    </row>
    <row r="13">
      <c r="A13" s="42"/>
      <c r="B13" s="43"/>
      <c r="C13" s="43"/>
      <c r="D13" s="44"/>
    </row>
    <row r="14" ht="29.149999999999999" customHeight="1">
      <c r="A14" s="47" t="s">
        <v>157</v>
      </c>
      <c r="B14" s="40" t="s">
        <v>158</v>
      </c>
      <c r="C14" s="46"/>
      <c r="D14" s="21">
        <v>0</v>
      </c>
    </row>
    <row r="15">
      <c r="A15" s="42"/>
      <c r="B15" s="43"/>
      <c r="C15" s="43"/>
      <c r="D15" s="44"/>
    </row>
    <row r="16">
      <c r="A16" s="45" t="s">
        <v>159</v>
      </c>
      <c r="B16" s="48" t="s">
        <v>160</v>
      </c>
      <c r="C16" s="41"/>
      <c r="D16" s="21">
        <v>0</v>
      </c>
    </row>
    <row r="17">
      <c r="A17" s="42"/>
      <c r="B17" s="43"/>
      <c r="C17" s="43"/>
      <c r="D17" s="44"/>
    </row>
    <row r="18" ht="50.549999999999997" customHeight="1">
      <c r="A18" s="45" t="s">
        <v>161</v>
      </c>
      <c r="B18" s="40" t="s">
        <v>162</v>
      </c>
      <c r="C18" s="46"/>
      <c r="D18" s="21">
        <v>0</v>
      </c>
    </row>
    <row r="19">
      <c r="A19" s="49" t="s">
        <v>163</v>
      </c>
      <c r="B19" s="50"/>
      <c r="C19" s="51"/>
      <c r="D19" s="52">
        <f>SUM(D2:D18)</f>
        <v>0</v>
      </c>
    </row>
    <row r="20">
      <c r="A20" s="36"/>
      <c r="B20" s="36"/>
      <c r="C20" s="36"/>
      <c r="D20" s="2"/>
    </row>
    <row r="21">
      <c r="A21" s="36"/>
      <c r="B21" s="36"/>
      <c r="C21" s="36"/>
      <c r="D21" s="2"/>
    </row>
    <row r="22">
      <c r="A22" s="36"/>
      <c r="B22" s="36"/>
      <c r="C22" s="36"/>
      <c r="D22" s="2"/>
    </row>
    <row r="23">
      <c r="A23" s="36"/>
      <c r="B23" s="36"/>
      <c r="C23" s="36"/>
      <c r="D23" s="2"/>
    </row>
  </sheetData>
  <mergeCells count="19">
    <mergeCell ref="B1:C1"/>
    <mergeCell ref="B2:C2"/>
    <mergeCell ref="A3:D3"/>
    <mergeCell ref="B4:C4"/>
    <mergeCell ref="A5:D5"/>
    <mergeCell ref="B6:C6"/>
    <mergeCell ref="A7:D7"/>
    <mergeCell ref="B8:C8"/>
    <mergeCell ref="A9:D9"/>
    <mergeCell ref="B10:C10"/>
    <mergeCell ref="A11:D11"/>
    <mergeCell ref="B12:C12"/>
    <mergeCell ref="A13:D13"/>
    <mergeCell ref="B14:C14"/>
    <mergeCell ref="A15:D15"/>
    <mergeCell ref="B16:C16"/>
    <mergeCell ref="A17:D17"/>
    <mergeCell ref="B18:C18"/>
    <mergeCell ref="A19:C1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2026-04-22T11:55:23Z</dcterms:modified>
</cp:coreProperties>
</file>